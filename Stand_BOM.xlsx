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Hole Sche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<sst xmlns="http://schemas.openxmlformats.org/spreadsheetml/2006/main" count="65" uniqueCount="61">
  <si>
    <t xml:space="preserve">Stand – Bill of Materials</t>
  </si>
  <si>
    <t xml:space="preserve">Source: Part_Studio_1 - Part 1 (STL/STEP). ~78.5 x 140 x 124 mm, 3 mm walls, 76.3 cm³, single body. Assumed 3D-printed.</t>
  </si>
  <si>
    <t xml:space="preserve">Blue cells = inputs you can edit. Unit costs are rough INR estimates (assumption) – replace with your real prices.</t>
  </si>
  <si>
    <t xml:space="preserve">#</t>
  </si>
  <si>
    <t xml:space="preserve">Item</t>
  </si>
  <si>
    <t xml:space="preserve">Spec</t>
  </si>
  <si>
    <t xml:space="preserve">Qty</t>
  </si>
  <si>
    <t xml:space="preserve">Unit</t>
  </si>
  <si>
    <t xml:space="preserve">Unit cost (INR)</t>
  </si>
  <si>
    <t xml:space="preserve">Line cost (INR)</t>
  </si>
  <si>
    <t xml:space="preserve">Notes</t>
  </si>
  <si>
    <t xml:space="preserve">Stand body</t>
  </si>
  <si>
    <t xml:space="preserve">Printed from STL, 3 mm walls</t>
  </si>
  <si>
    <t xml:space="preserve">pc</t>
  </si>
  <si>
    <t xml:space="preserve">Cost covered by filament line</t>
  </si>
  <si>
    <t xml:space="preserve">Filament</t>
  </si>
  <si>
    <t xml:space="preserve">PETG or PLA, 1.75 mm</t>
  </si>
  <si>
    <t xml:space="preserve">kg</t>
  </si>
  <si>
    <t xml:space="preserve">Solid volume x density, plus waste/supports</t>
  </si>
  <si>
    <t xml:space="preserve">Socket-head screws</t>
  </si>
  <si>
    <t xml:space="preserve">M5 x 12 mm</t>
  </si>
  <si>
    <t xml:space="preserve">For 3 stepped holes (Ø6 through, Ø12 counterbore). Optional – only if mounting</t>
  </si>
  <si>
    <t xml:space="preserve">Washers / nuts</t>
  </si>
  <si>
    <t xml:space="preserve">M5</t>
  </si>
  <si>
    <t xml:space="preserve">Only if screws pass through to another part</t>
  </si>
  <si>
    <t xml:space="preserve">Rubber feet</t>
  </si>
  <si>
    <t xml:space="preserve">10–12 mm self-adhesive</t>
  </si>
  <si>
    <t xml:space="preserve">Under the base to stop sliding</t>
  </si>
  <si>
    <t xml:space="preserve">Anti-slip pad</t>
  </si>
  <si>
    <t xml:space="preserve">Silicone/rubber strip, 3 mm, cut to fit</t>
  </si>
  <si>
    <t xml:space="preserve">Lip and back plate, protects the device</t>
  </si>
  <si>
    <t xml:space="preserve">Total (INR)</t>
  </si>
  <si>
    <t xml:space="preserve">Part volume (cm³)</t>
  </si>
  <si>
    <t xml:space="preserve">Measured from STL (watertight, single body)</t>
  </si>
  <si>
    <t xml:space="preserve">Filament density (g/cm³)</t>
  </si>
  <si>
    <t xml:space="preserve">Assumption: PETG ≈1.27, PLA ≈1.24</t>
  </si>
  <si>
    <t xml:space="preserve">Waste / supports allowance</t>
  </si>
  <si>
    <t xml:space="preserve">Assumption: 5% extra for supports/purge</t>
  </si>
  <si>
    <t xml:space="preserve">Example: 1 stand ≈ 76.3 cm³ x 1.27 = ~97 g + 5% ≈ 0.10 kg filament</t>
  </si>
  <si>
    <t xml:space="preserve">Feature</t>
  </si>
  <si>
    <t xml:space="preserve">Diameter (mm)</t>
  </si>
  <si>
    <t xml:space="preserve">Location (X,Y,Z mm)</t>
  </si>
  <si>
    <t xml:space="preserve">Purpose / note</t>
  </si>
  <si>
    <t xml:space="preserve">Hole x2 (base &amp; back plate)</t>
  </si>
  <si>
    <t xml:space="preserve">(49,0,0) and (51.7,0,29.8)</t>
  </si>
  <si>
    <t xml:space="preserve">Probably cable pass-through</t>
  </si>
  <si>
    <t xml:space="preserve">Hole x2 (top corners of back plate)</t>
  </si>
  <si>
    <t xml:space="preserve">(3.6,±62.9,113.2)</t>
  </si>
  <si>
    <t xml:space="preserve">Near top corners</t>
  </si>
  <si>
    <t xml:space="preserve">Hole x2 (front lip)</t>
  </si>
  <si>
    <t xml:space="preserve">(49,±39,34.5)</t>
  </si>
  <si>
    <t xml:space="preserve">Small through holes</t>
  </si>
  <si>
    <t xml:space="preserve">Stepped hole x3 (Ø6 through / Ø12 counterbore)</t>
  </si>
  <si>
    <t xml:space="preserve">6 / 12</t>
  </si>
  <si>
    <t xml:space="preserve">(54.7,±56,36.6) and (6,-25,3)</t>
  </si>
  <si>
    <t xml:space="preserve">Screw holes – basis for M5 screws (assumption)</t>
  </si>
  <si>
    <t xml:space="preserve">Cutouts (Ø24 / Ø18)</t>
  </si>
  <si>
    <t xml:space="preserve">24 / 18</t>
  </si>
  <si>
    <t xml:space="preserve">(53.3,0,9), (68.1,±54–58,37.5)</t>
  </si>
  <si>
    <t xml:space="preserve">Slots or pockets, no hardware assumed</t>
  </si>
  <si>
    <t xml:space="preserve">Note: dimensions read from STEP cylindrical faces (file units are metres, converted to mm). Verify against your CAD.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</si>
</sst>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0.000"/>
    <numFmt numFmtId="167" formatCode="#,##0.00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7" min="6" style="0" width="16"/>
    <col collapsed="false" customWidth="true" hidden="false" outlineLevel="0" max="8" min="8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15" hidden="false" customHeight="false" outlineLevel="0" collapsed="false">
      <c r="A6" s="4" t="n">
        <v>1</v>
      </c>
      <c r="B6" s="4" t="s">
        <v>11</v>
      </c>
      <c r="C6" s="4" t="s">
        <v>12</v>
      </c>
      <c r="D6" s="4" t="n">
        <v>1</v>
      </c>
      <c r="E6" s="4" t="s">
        <v>13</v>
      </c>
      <c r="F6" s="5" t="n">
        <v>0</v>
      </c>
      <c r="G6" s="6" t="n">
        <f aca="false">D6*F6</f>
        <v>0</v>
      </c>
      <c r="H6" s="4" t="s">
        <v>14</v>
      </c>
    </row>
    <row r="7" customFormat="false" ht="15" hidden="false" customHeight="false" outlineLevel="0" collapsed="false">
      <c r="A7" s="4" t="n">
        <v>2</v>
      </c>
      <c r="B7" s="4" t="s">
        <v>15</v>
      </c>
      <c r="C7" s="4" t="s">
        <v>16</v>
      </c>
      <c r="D7" s="7" t="n">
        <f aca="false">ROUND(B13*B14/1000*(1+B15),3)</f>
        <v>0.102</v>
      </c>
      <c r="E7" s="4" t="s">
        <v>17</v>
      </c>
      <c r="F7" s="8" t="n">
        <v>1500</v>
      </c>
      <c r="G7" s="6" t="n">
        <f aca="false">D7*F7</f>
        <v>153</v>
      </c>
      <c r="H7" s="4" t="s">
        <v>18</v>
      </c>
    </row>
    <row r="8" customFormat="false" ht="23.85" hidden="false" customHeight="false" outlineLevel="0" collapsed="false">
      <c r="A8" s="4" t="n">
        <v>3</v>
      </c>
      <c r="B8" s="4" t="s">
        <v>19</v>
      </c>
      <c r="C8" s="4" t="s">
        <v>20</v>
      </c>
      <c r="D8" s="9" t="n">
        <v>3</v>
      </c>
      <c r="E8" s="4" t="s">
        <v>13</v>
      </c>
      <c r="F8" s="5" t="n">
        <v>5</v>
      </c>
      <c r="G8" s="6" t="n">
        <f aca="false">D8*F8</f>
        <v>15</v>
      </c>
      <c r="H8" s="4" t="s">
        <v>21</v>
      </c>
    </row>
    <row r="9" customFormat="false" ht="15" hidden="false" customHeight="false" outlineLevel="0" collapsed="false">
      <c r="A9" s="4" t="n">
        <v>4</v>
      </c>
      <c r="B9" s="4" t="s">
        <v>22</v>
      </c>
      <c r="C9" s="4" t="s">
        <v>23</v>
      </c>
      <c r="D9" s="9" t="n">
        <v>3</v>
      </c>
      <c r="E9" s="4" t="s">
        <v>13</v>
      </c>
      <c r="F9" s="5" t="n">
        <v>3</v>
      </c>
      <c r="G9" s="6" t="n">
        <f aca="false">D9*F9</f>
        <v>9</v>
      </c>
      <c r="H9" s="4" t="s">
        <v>24</v>
      </c>
    </row>
    <row r="10" customFormat="false" ht="15" hidden="false" customHeight="false" outlineLevel="0" collapsed="false">
      <c r="A10" s="4" t="n">
        <v>5</v>
      </c>
      <c r="B10" s="4" t="s">
        <v>25</v>
      </c>
      <c r="C10" s="4" t="s">
        <v>26</v>
      </c>
      <c r="D10" s="9" t="n">
        <v>4</v>
      </c>
      <c r="E10" s="4" t="s">
        <v>13</v>
      </c>
      <c r="F10" s="5" t="n">
        <v>3</v>
      </c>
      <c r="G10" s="6" t="n">
        <f aca="false">D10*F10</f>
        <v>12</v>
      </c>
      <c r="H10" s="4" t="s">
        <v>27</v>
      </c>
    </row>
    <row r="11" customFormat="false" ht="15" hidden="false" customHeight="false" outlineLevel="0" collapsed="false">
      <c r="A11" s="4" t="n">
        <v>6</v>
      </c>
      <c r="B11" s="4" t="s">
        <v>28</v>
      </c>
      <c r="C11" s="4" t="s">
        <v>29</v>
      </c>
      <c r="D11" s="9" t="n">
        <v>1</v>
      </c>
      <c r="E11" s="4" t="s">
        <v>13</v>
      </c>
      <c r="F11" s="5" t="n">
        <v>40</v>
      </c>
      <c r="G11" s="6" t="n">
        <f aca="false">D11*F11</f>
        <v>40</v>
      </c>
      <c r="H11" s="4" t="s">
        <v>30</v>
      </c>
    </row>
    <row r="12" customFormat="false" ht="15" hidden="false" customHeight="false" outlineLevel="0" collapsed="false">
      <c r="F12" s="10" t="s">
        <v>31</v>
      </c>
      <c r="G12" s="11" t="n">
        <f aca="false">SUM(G6:G11)</f>
        <v>229</v>
      </c>
    </row>
    <row r="13" customFormat="false" ht="15" hidden="false" customHeight="false" outlineLevel="0" collapsed="false">
      <c r="A13" s="10" t="s">
        <v>32</v>
      </c>
      <c r="B13" s="12" t="n">
        <v>76.3</v>
      </c>
      <c r="C13" s="2" t="s">
        <v>33</v>
      </c>
    </row>
    <row r="14" customFormat="false" ht="15" hidden="false" customHeight="false" outlineLevel="0" collapsed="false">
      <c r="A14" s="10" t="s">
        <v>34</v>
      </c>
      <c r="B14" s="12" t="n">
        <v>1.27</v>
      </c>
      <c r="C14" s="2" t="s">
        <v>35</v>
      </c>
    </row>
    <row r="15" customFormat="false" ht="15" hidden="false" customHeight="false" outlineLevel="0" collapsed="false">
      <c r="A15" s="10" t="s">
        <v>36</v>
      </c>
      <c r="B15" s="13" t="n">
        <v>0.05</v>
      </c>
      <c r="C15" s="2" t="s">
        <v>37</v>
      </c>
    </row>
    <row r="17" customFormat="false" ht="15" hidden="false" customHeight="false" outlineLevel="0" collapsed="false">
      <c r="A17" s="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4" t="s">
        <v>39</v>
      </c>
      <c r="B1" s="14" t="s">
        <v>40</v>
      </c>
      <c r="C1" s="14" t="s">
        <v>41</v>
      </c>
      <c r="D1" s="14" t="s">
        <v>42</v>
      </c>
    </row>
    <row r="2" customFormat="false" ht="15" hidden="false" customHeight="false" outlineLevel="0" collapsed="false">
      <c r="A2" s="4" t="s">
        <v>43</v>
      </c>
      <c r="B2" s="4" t="n">
        <v>14.07</v>
      </c>
      <c r="C2" s="4" t="s">
        <v>44</v>
      </c>
      <c r="D2" s="4" t="s">
        <v>45</v>
      </c>
    </row>
    <row r="3" customFormat="false" ht="15" hidden="false" customHeight="false" outlineLevel="0" collapsed="false">
      <c r="A3" s="4" t="s">
        <v>46</v>
      </c>
      <c r="B3" s="4" t="n">
        <v>14.29</v>
      </c>
      <c r="C3" s="4" t="s">
        <v>47</v>
      </c>
      <c r="D3" s="4" t="s">
        <v>48</v>
      </c>
    </row>
    <row r="4" customFormat="false" ht="15" hidden="false" customHeight="false" outlineLevel="0" collapsed="false">
      <c r="A4" s="4" t="s">
        <v>49</v>
      </c>
      <c r="B4" s="4" t="n">
        <v>6</v>
      </c>
      <c r="C4" s="4" t="s">
        <v>50</v>
      </c>
      <c r="D4" s="4" t="s">
        <v>51</v>
      </c>
    </row>
    <row r="5" customFormat="false" ht="15" hidden="false" customHeight="false" outlineLevel="0" collapsed="false">
      <c r="A5" s="4" t="s">
        <v>52</v>
      </c>
      <c r="B5" s="4" t="s">
        <v>53</v>
      </c>
      <c r="C5" s="4" t="s">
        <v>54</v>
      </c>
      <c r="D5" s="4" t="s">
        <v>55</v>
      </c>
    </row>
    <row r="6" customFormat="false" ht="15" hidden="false" customHeight="false" outlineLevel="0" collapsed="false">
      <c r="A6" s="4" t="s">
        <v>56</v>
      </c>
      <c r="B6" s="4" t="s">
        <v>57</v>
      </c>
      <c r="C6" s="4" t="s">
        <v>58</v>
      </c>
      <c r="D6" s="4" t="s">
        <v>59</v>
      </c>
    </row>
    <row r="8" customFormat="false" ht="15" hidden="false" customHeight="false" outlineLevel="0" collapsed="false">
      <c r="A8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2026-10-16T05:11:38Z</dcterms:created>
  <dc:creator>openpyxl</dc:creator>
  <dc:description/>
  <dc:language>en-US</dc:language>
  <cp:lastModifiedBy/>
  <dcterms:modified xsi:type="dcterms:W3CDTF">2026-10-16T05:11:38Z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